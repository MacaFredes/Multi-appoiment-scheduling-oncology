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af\OneDrive\Documentos\Zona de pruebas\"/>
    </mc:Choice>
  </mc:AlternateContent>
  <xr:revisionPtr revIDLastSave="0" documentId="13_ncr:1_{821310CB-D54F-4D05-B149-67337AE4629B}" xr6:coauthVersionLast="47" xr6:coauthVersionMax="47" xr10:uidLastSave="{00000000-0000-0000-0000-000000000000}"/>
  <bookViews>
    <workbookView xWindow="-110" yWindow="-110" windowWidth="19420" windowHeight="10300" tabRatio="749" xr2:uid="{00000000-000D-0000-FFFF-FFFF00000000}"/>
  </bookViews>
  <sheets>
    <sheet name="RUTAS_Prueba" sheetId="4" r:id="rId1"/>
    <sheet name="Hoja4" sheetId="7" r:id="rId2"/>
    <sheet name="Hoja3" sheetId="6" r:id="rId3"/>
    <sheet name="Hoja2" sheetId="5" r:id="rId4"/>
    <sheet name="Hoja1" sheetId="3" r:id="rId5"/>
    <sheet name="RUTA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3" i="7"/>
  <c r="D8" i="7"/>
  <c r="D5" i="7"/>
  <c r="D4" i="7"/>
  <c r="C5" i="7"/>
  <c r="C4" i="7"/>
  <c r="B5" i="7"/>
  <c r="B4" i="7"/>
</calcChain>
</file>

<file path=xl/sharedStrings.xml><?xml version="1.0" encoding="utf-8"?>
<sst xmlns="http://schemas.openxmlformats.org/spreadsheetml/2006/main" count="286" uniqueCount="40">
  <si>
    <t>NÚMERO</t>
  </si>
  <si>
    <t>IMAGEN</t>
  </si>
  <si>
    <t>LABORATORIO</t>
  </si>
  <si>
    <t>EVENTO</t>
  </si>
  <si>
    <t>PERIODICIDAD (DÍAS)</t>
  </si>
  <si>
    <t>MÁXIMO (DÍAS)</t>
  </si>
  <si>
    <t>DEPENDENCIA</t>
  </si>
  <si>
    <t>SERVICIO</t>
  </si>
  <si>
    <t>SECCIÓN</t>
  </si>
  <si>
    <t>BANCO DE SANGRE</t>
  </si>
  <si>
    <t>health_kernel.section.CARDIO.long</t>
  </si>
  <si>
    <t>health_kernel.service.CARDIO.long</t>
  </si>
  <si>
    <t>CONSULTA AMBULATORIA CARDIOLOGÍA</t>
  </si>
  <si>
    <t>ONCOLOGIA MEDICA</t>
  </si>
  <si>
    <t>HEMATOLOGIA</t>
  </si>
  <si>
    <t>CONSULTA AMBULATORIA HEMATOLOGÍA</t>
  </si>
  <si>
    <t>health_kernel.service.IMAGEN.long</t>
  </si>
  <si>
    <t>health_kernel.section.IMAGEN.long</t>
  </si>
  <si>
    <t>health_kernel.service.LAB.long</t>
  </si>
  <si>
    <t>health_kernel.section.LAB_LAB.long</t>
  </si>
  <si>
    <t>health_kernel.service.MED_INT.long</t>
  </si>
  <si>
    <t>health_kernel.section.GERIATRIA.long</t>
  </si>
  <si>
    <t>health_kernel.service.BSANGRE.long</t>
  </si>
  <si>
    <t>health_kernel.section.BSANGRE.long</t>
  </si>
  <si>
    <t>CONSULTA AMBULATORIA GERIATRIA</t>
  </si>
  <si>
    <t>PATOLOGÍA</t>
  </si>
  <si>
    <t>CANCER DE MAMAS</t>
  </si>
  <si>
    <t>CANCER DE PIEL</t>
  </si>
  <si>
    <t>Gana rutas</t>
  </si>
  <si>
    <t>Gana inverso</t>
  </si>
  <si>
    <t>Gana Normal al de rutas, pero no al inverso</t>
  </si>
  <si>
    <t>CANCER DE TIROIDES</t>
  </si>
  <si>
    <t>sup</t>
  </si>
  <si>
    <t>inf</t>
  </si>
  <si>
    <t>pacientes</t>
  </si>
  <si>
    <t>recursos</t>
  </si>
  <si>
    <t>tiempo</t>
  </si>
  <si>
    <t>recurso</t>
  </si>
  <si>
    <t>eventos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</si>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</sst>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868680</xdr:colOff>
      <xdr:row>11</xdr:row>
      <xdr:rowOff>106680</xdr:rowOff>
    </xdr:from>
    <xdr:to>
      <xdr:col>2</xdr:col>
      <xdr:colOff>167640</xdr:colOff>
      <xdr:row>14</xdr:row>
      <xdr:rowOff>99060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6892969-8A48-8568-A556-1E8012C49B81}"/>
            </a:ext>
          </a:extLst>
        </xdr:cNvPr>
        <xdr:cNvSpPr/>
      </xdr:nvSpPr>
      <xdr:spPr>
        <a:xfrm>
          <a:off x="1661160" y="2133600"/>
          <a:ext cx="556260" cy="54102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chemeClr val="tx1"/>
              </a:solidFill>
            </a:rPr>
            <a:t>e</a:t>
          </a:r>
        </a:p>
      </xdr:txBody>
    </xdr:sp>
    <xdr:clientData/>
  </xdr:twoCellAnchor>
  <xdr:oneCellAnchor>
    <xdr:from>
      <xdr:col>1</xdr:col>
      <xdr:colOff>1089660</xdr:colOff>
      <xdr:row>12</xdr:row>
      <xdr:rowOff>0</xdr:rowOff>
    </xdr:from>
    <xdr:ext cx="245324" cy="23320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D6634F5-CAB1-2157-01F5-6804AE08F581}"/>
            </a:ext>
          </a:extLst>
        </xdr:cNvPr>
        <xdr:cNvSpPr txBox="1"/>
      </xdr:nvSpPr>
      <xdr:spPr>
        <a:xfrm>
          <a:off x="1882140" y="2209800"/>
          <a:ext cx="2453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p</a:t>
          </a:r>
          <a:endParaRPr lang="es-ES" sz="8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1089660</xdr:colOff>
      <xdr:row>12</xdr:row>
      <xdr:rowOff>152400</xdr:rowOff>
    </xdr:from>
    <xdr:ext cx="243143" cy="23320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135C9AC-950C-43D6-B67B-80B74ED32154}"/>
            </a:ext>
          </a:extLst>
        </xdr:cNvPr>
        <xdr:cNvSpPr txBox="1"/>
      </xdr:nvSpPr>
      <xdr:spPr>
        <a:xfrm>
          <a:off x="1882140" y="2362200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1</a:t>
          </a:r>
        </a:p>
      </xdr:txBody>
    </xdr:sp>
    <xdr:clientData/>
  </xdr:oneCellAnchor>
  <xdr:twoCellAnchor>
    <xdr:from>
      <xdr:col>2</xdr:col>
      <xdr:colOff>1005840</xdr:colOff>
      <xdr:row>7</xdr:row>
      <xdr:rowOff>167640</xdr:rowOff>
    </xdr:from>
    <xdr:to>
      <xdr:col>2</xdr:col>
      <xdr:colOff>1562100</xdr:colOff>
      <xdr:row>10</xdr:row>
      <xdr:rowOff>160020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E29E5BFA-8BD5-4710-8309-BAC49D5514B7}"/>
            </a:ext>
          </a:extLst>
        </xdr:cNvPr>
        <xdr:cNvSpPr/>
      </xdr:nvSpPr>
      <xdr:spPr>
        <a:xfrm rot="20712594">
          <a:off x="3055620" y="1463040"/>
          <a:ext cx="556260" cy="5410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100"/>
        </a:p>
      </xdr:txBody>
    </xdr:sp>
    <xdr:clientData/>
  </xdr:twoCellAnchor>
  <xdr:oneCellAnchor>
    <xdr:from>
      <xdr:col>2</xdr:col>
      <xdr:colOff>1249680</xdr:colOff>
      <xdr:row>9</xdr:row>
      <xdr:rowOff>15240</xdr:rowOff>
    </xdr:from>
    <xdr:ext cx="236668" cy="217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9E4038D-2630-4091-98DD-C58D82441D6D}"/>
            </a:ext>
          </a:extLst>
        </xdr:cNvPr>
        <xdr:cNvSpPr txBox="1"/>
      </xdr:nvSpPr>
      <xdr:spPr>
        <a:xfrm>
          <a:off x="3299460" y="1676400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8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2</xdr:col>
      <xdr:colOff>1257300</xdr:colOff>
      <xdr:row>8</xdr:row>
      <xdr:rowOff>60960</xdr:rowOff>
    </xdr:from>
    <xdr:ext cx="238591" cy="217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DCC7F0D-C345-4993-ACCF-1116B0B034FC}"/>
            </a:ext>
          </a:extLst>
        </xdr:cNvPr>
        <xdr:cNvSpPr txBox="1"/>
      </xdr:nvSpPr>
      <xdr:spPr>
        <a:xfrm>
          <a:off x="3307080" y="1539240"/>
          <a:ext cx="23859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800">
              <a:solidFill>
                <a:schemeClr val="bg1"/>
              </a:solidFill>
            </a:rPr>
            <a:t>p</a:t>
          </a:r>
        </a:p>
      </xdr:txBody>
    </xdr:sp>
    <xdr:clientData/>
  </xdr:oneCellAnchor>
  <xdr:twoCellAnchor>
    <xdr:from>
      <xdr:col>2</xdr:col>
      <xdr:colOff>86178</xdr:colOff>
      <xdr:row>9</xdr:row>
      <xdr:rowOff>143391</xdr:rowOff>
    </xdr:from>
    <xdr:to>
      <xdr:col>2</xdr:col>
      <xdr:colOff>1015055</xdr:colOff>
      <xdr:row>12</xdr:row>
      <xdr:rowOff>3031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CA34CDAC-0786-653A-41DA-CC62CB6C8809}"/>
            </a:ext>
          </a:extLst>
        </xdr:cNvPr>
        <xdr:cNvCxnSpPr>
          <a:stCxn id="2" idx="7"/>
          <a:endCxn id="5" idx="2"/>
        </xdr:cNvCxnSpPr>
      </xdr:nvCxnSpPr>
      <xdr:spPr>
        <a:xfrm flipV="1">
          <a:off x="2135958" y="1804551"/>
          <a:ext cx="928877" cy="408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1143000</xdr:colOff>
      <xdr:row>8</xdr:row>
      <xdr:rowOff>114300</xdr:rowOff>
    </xdr:from>
    <xdr:ext cx="24846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73C0312-B74A-4E91-82FB-56123FA89DDF}"/>
            </a:ext>
          </a:extLst>
        </xdr:cNvPr>
        <xdr:cNvSpPr txBox="1"/>
      </xdr:nvSpPr>
      <xdr:spPr>
        <a:xfrm>
          <a:off x="3192780" y="1592580"/>
          <a:ext cx="24846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e</a:t>
          </a:r>
        </a:p>
      </xdr:txBody>
    </xdr:sp>
    <xdr:clientData/>
  </xdr:oneCellAnchor>
  <xdr:twoCellAnchor>
    <xdr:from>
      <xdr:col>2</xdr:col>
      <xdr:colOff>1005840</xdr:colOff>
      <xdr:row>7</xdr:row>
      <xdr:rowOff>167640</xdr:rowOff>
    </xdr:from>
    <xdr:to>
      <xdr:col>2</xdr:col>
      <xdr:colOff>1562100</xdr:colOff>
      <xdr:row>10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F7AEFDC1-57DF-4198-A499-68628D74546A}"/>
            </a:ext>
          </a:extLst>
        </xdr:cNvPr>
        <xdr:cNvSpPr/>
      </xdr:nvSpPr>
      <xdr:spPr>
        <a:xfrm rot="20712594">
          <a:off x="3055620" y="1463040"/>
          <a:ext cx="556260" cy="54102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100"/>
        </a:p>
      </xdr:txBody>
    </xdr:sp>
    <xdr:clientData/>
  </xdr:twoCellAnchor>
  <xdr:oneCellAnchor>
    <xdr:from>
      <xdr:col>2</xdr:col>
      <xdr:colOff>1249680</xdr:colOff>
      <xdr:row>9</xdr:row>
      <xdr:rowOff>15240</xdr:rowOff>
    </xdr:from>
    <xdr:ext cx="243143" cy="233205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B45A32E-376C-499D-B6FC-C7778F68AA5F}"/>
            </a:ext>
          </a:extLst>
        </xdr:cNvPr>
        <xdr:cNvSpPr txBox="1"/>
      </xdr:nvSpPr>
      <xdr:spPr>
        <a:xfrm>
          <a:off x="3299460" y="1676400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3</a:t>
          </a:r>
        </a:p>
      </xdr:txBody>
    </xdr:sp>
    <xdr:clientData/>
  </xdr:oneCellAnchor>
  <xdr:oneCellAnchor>
    <xdr:from>
      <xdr:col>2</xdr:col>
      <xdr:colOff>1257300</xdr:colOff>
      <xdr:row>8</xdr:row>
      <xdr:rowOff>60960</xdr:rowOff>
    </xdr:from>
    <xdr:ext cx="245324" cy="23320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5A9600C-B87C-46C4-A3EB-AA7A613F9286}"/>
            </a:ext>
          </a:extLst>
        </xdr:cNvPr>
        <xdr:cNvSpPr txBox="1"/>
      </xdr:nvSpPr>
      <xdr:spPr>
        <a:xfrm>
          <a:off x="3307080" y="1539240"/>
          <a:ext cx="2453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p</a:t>
          </a:r>
        </a:p>
      </xdr:txBody>
    </xdr:sp>
    <xdr:clientData/>
  </xdr:oneCellAnchor>
  <xdr:twoCellAnchor>
    <xdr:from>
      <xdr:col>2</xdr:col>
      <xdr:colOff>86178</xdr:colOff>
      <xdr:row>9</xdr:row>
      <xdr:rowOff>143391</xdr:rowOff>
    </xdr:from>
    <xdr:to>
      <xdr:col>2</xdr:col>
      <xdr:colOff>1015055</xdr:colOff>
      <xdr:row>12</xdr:row>
      <xdr:rowOff>3031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BB9ABCC3-8903-4E5D-BA0E-5733AC0DA4C3}"/>
            </a:ext>
          </a:extLst>
        </xdr:cNvPr>
        <xdr:cNvCxnSpPr>
          <a:endCxn id="13" idx="2"/>
        </xdr:cNvCxnSpPr>
      </xdr:nvCxnSpPr>
      <xdr:spPr>
        <a:xfrm flipV="1">
          <a:off x="2135958" y="1804551"/>
          <a:ext cx="928877" cy="408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1143000</xdr:colOff>
      <xdr:row>8</xdr:row>
      <xdr:rowOff>114300</xdr:rowOff>
    </xdr:from>
    <xdr:ext cx="261225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B2C973C-3D9D-4F5C-A6E3-598A7891820A}"/>
            </a:ext>
          </a:extLst>
        </xdr:cNvPr>
        <xdr:cNvSpPr txBox="1"/>
      </xdr:nvSpPr>
      <xdr:spPr>
        <a:xfrm>
          <a:off x="3192780" y="1592580"/>
          <a:ext cx="2612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>
              <a:solidFill>
                <a:schemeClr val="tx1"/>
              </a:solidFill>
            </a:rPr>
            <a:t>e</a:t>
          </a:r>
        </a:p>
      </xdr:txBody>
    </xdr:sp>
    <xdr:clientData/>
  </xdr:oneCellAnchor>
  <xdr:twoCellAnchor>
    <xdr:from>
      <xdr:col>2</xdr:col>
      <xdr:colOff>1036320</xdr:colOff>
      <xdr:row>15</xdr:row>
      <xdr:rowOff>160020</xdr:rowOff>
    </xdr:from>
    <xdr:to>
      <xdr:col>2</xdr:col>
      <xdr:colOff>1592580</xdr:colOff>
      <xdr:row>18</xdr:row>
      <xdr:rowOff>152400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D96A20C-694B-4CC8-8C2F-62810EB14DDA}"/>
            </a:ext>
          </a:extLst>
        </xdr:cNvPr>
        <xdr:cNvSpPr/>
      </xdr:nvSpPr>
      <xdr:spPr>
        <a:xfrm rot="20712594">
          <a:off x="3086100" y="2918460"/>
          <a:ext cx="556260" cy="54102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100"/>
        </a:p>
      </xdr:txBody>
    </xdr:sp>
    <xdr:clientData/>
  </xdr:twoCellAnchor>
  <xdr:oneCellAnchor>
    <xdr:from>
      <xdr:col>2</xdr:col>
      <xdr:colOff>1242060</xdr:colOff>
      <xdr:row>17</xdr:row>
      <xdr:rowOff>38100</xdr:rowOff>
    </xdr:from>
    <xdr:ext cx="243143" cy="233205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588CECF-D9D9-4503-A1FA-F37598B98E89}"/>
            </a:ext>
          </a:extLst>
        </xdr:cNvPr>
        <xdr:cNvSpPr txBox="1"/>
      </xdr:nvSpPr>
      <xdr:spPr>
        <a:xfrm>
          <a:off x="3291840" y="3162300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2</a:t>
          </a:r>
        </a:p>
      </xdr:txBody>
    </xdr:sp>
    <xdr:clientData/>
  </xdr:oneCellAnchor>
  <xdr:oneCellAnchor>
    <xdr:from>
      <xdr:col>2</xdr:col>
      <xdr:colOff>1264920</xdr:colOff>
      <xdr:row>16</xdr:row>
      <xdr:rowOff>45720</xdr:rowOff>
    </xdr:from>
    <xdr:ext cx="245324" cy="233205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F173640A-C2FF-43DB-9EC7-03AD9D51939A}"/>
            </a:ext>
          </a:extLst>
        </xdr:cNvPr>
        <xdr:cNvSpPr txBox="1"/>
      </xdr:nvSpPr>
      <xdr:spPr>
        <a:xfrm>
          <a:off x="3314700" y="2987040"/>
          <a:ext cx="2453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p</a:t>
          </a:r>
        </a:p>
      </xdr:txBody>
    </xdr:sp>
    <xdr:clientData/>
  </xdr:oneCellAnchor>
  <xdr:twoCellAnchor>
    <xdr:from>
      <xdr:col>2</xdr:col>
      <xdr:colOff>86178</xdr:colOff>
      <xdr:row>14</xdr:row>
      <xdr:rowOff>19829</xdr:rowOff>
    </xdr:from>
    <xdr:to>
      <xdr:col>2</xdr:col>
      <xdr:colOff>1075469</xdr:colOff>
      <xdr:row>16</xdr:row>
      <xdr:rowOff>112914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CA9C286D-B78C-43A1-8642-15A9CBD31885}"/>
            </a:ext>
          </a:extLst>
        </xdr:cNvPr>
        <xdr:cNvCxnSpPr>
          <a:stCxn id="2" idx="5"/>
          <a:endCxn id="23" idx="1"/>
        </xdr:cNvCxnSpPr>
      </xdr:nvCxnSpPr>
      <xdr:spPr>
        <a:xfrm>
          <a:off x="2135958" y="2595389"/>
          <a:ext cx="989291" cy="45884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1158240</xdr:colOff>
      <xdr:row>16</xdr:row>
      <xdr:rowOff>114300</xdr:rowOff>
    </xdr:from>
    <xdr:ext cx="261225" cy="280205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66E7CB7-51B1-4C98-A3AA-0F48E64D333F}"/>
            </a:ext>
          </a:extLst>
        </xdr:cNvPr>
        <xdr:cNvSpPr txBox="1"/>
      </xdr:nvSpPr>
      <xdr:spPr>
        <a:xfrm>
          <a:off x="3208020" y="3055620"/>
          <a:ext cx="2612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>
              <a:solidFill>
                <a:schemeClr val="tx1"/>
              </a:solidFill>
            </a:rPr>
            <a:t>e</a:t>
          </a:r>
        </a:p>
      </xdr:txBody>
    </xdr:sp>
    <xdr:clientData/>
  </xdr:oneCellAnchor>
  <xdr:twoCellAnchor>
    <xdr:from>
      <xdr:col>2</xdr:col>
      <xdr:colOff>2537458</xdr:colOff>
      <xdr:row>10</xdr:row>
      <xdr:rowOff>160022</xdr:rowOff>
    </xdr:from>
    <xdr:to>
      <xdr:col>5</xdr:col>
      <xdr:colOff>373378</xdr:colOff>
      <xdr:row>13</xdr:row>
      <xdr:rowOff>152402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612C464-9B38-4CAB-B011-E3F10E9F5675}"/>
            </a:ext>
          </a:extLst>
        </xdr:cNvPr>
        <xdr:cNvSpPr/>
      </xdr:nvSpPr>
      <xdr:spPr>
        <a:xfrm rot="19703192">
          <a:off x="4588480" y="2174119"/>
          <a:ext cx="554951" cy="536186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1522515</xdr:colOff>
      <xdr:row>10</xdr:row>
      <xdr:rowOff>25011</xdr:rowOff>
    </xdr:from>
    <xdr:to>
      <xdr:col>2</xdr:col>
      <xdr:colOff>2548475</xdr:colOff>
      <xdr:row>12</xdr:row>
      <xdr:rowOff>6987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0C9EBE4-41D0-DA82-28EE-9A427AABE09B}"/>
            </a:ext>
          </a:extLst>
        </xdr:cNvPr>
        <xdr:cNvCxnSpPr>
          <a:stCxn id="13" idx="5"/>
          <a:endCxn id="32" idx="1"/>
        </xdr:cNvCxnSpPr>
      </xdr:nvCxnSpPr>
      <xdr:spPr>
        <a:xfrm>
          <a:off x="3573537" y="2039108"/>
          <a:ext cx="1025960" cy="34451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2659380</xdr:colOff>
      <xdr:row>11</xdr:row>
      <xdr:rowOff>99060</xdr:rowOff>
    </xdr:from>
    <xdr:ext cx="261225" cy="280205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B6778655-7BAB-4470-BCF7-8E79007ACBFB}"/>
            </a:ext>
          </a:extLst>
        </xdr:cNvPr>
        <xdr:cNvSpPr txBox="1"/>
      </xdr:nvSpPr>
      <xdr:spPr>
        <a:xfrm>
          <a:off x="4709160" y="2308860"/>
          <a:ext cx="2612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>
              <a:solidFill>
                <a:schemeClr val="tx1"/>
              </a:solidFill>
            </a:rPr>
            <a:t>e</a:t>
          </a:r>
          <a:endParaRPr lang="es-ES" sz="10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38100</xdr:colOff>
      <xdr:row>12</xdr:row>
      <xdr:rowOff>30480</xdr:rowOff>
    </xdr:from>
    <xdr:ext cx="243143" cy="233205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F19CE483-5C00-4B62-84D5-4EEB9063165A}"/>
            </a:ext>
          </a:extLst>
        </xdr:cNvPr>
        <xdr:cNvSpPr txBox="1"/>
      </xdr:nvSpPr>
      <xdr:spPr>
        <a:xfrm>
          <a:off x="4808220" y="2423160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4</a:t>
          </a:r>
        </a:p>
      </xdr:txBody>
    </xdr:sp>
    <xdr:clientData/>
  </xdr:oneCellAnchor>
  <xdr:oneCellAnchor>
    <xdr:from>
      <xdr:col>5</xdr:col>
      <xdr:colOff>60960</xdr:colOff>
      <xdr:row>11</xdr:row>
      <xdr:rowOff>0</xdr:rowOff>
    </xdr:from>
    <xdr:ext cx="245324" cy="233205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8EACE59C-4A8D-400D-97EF-51057EF47ECF}"/>
            </a:ext>
          </a:extLst>
        </xdr:cNvPr>
        <xdr:cNvSpPr txBox="1"/>
      </xdr:nvSpPr>
      <xdr:spPr>
        <a:xfrm>
          <a:off x="4831080" y="2209800"/>
          <a:ext cx="2453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p</a:t>
          </a:r>
        </a:p>
      </xdr:txBody>
    </xdr:sp>
    <xdr:clientData/>
  </xdr:oneCellAnchor>
  <xdr:twoCellAnchor>
    <xdr:from>
      <xdr:col>5</xdr:col>
      <xdr:colOff>1470930</xdr:colOff>
      <xdr:row>11</xdr:row>
      <xdr:rowOff>41090</xdr:rowOff>
    </xdr:from>
    <xdr:to>
      <xdr:col>6</xdr:col>
      <xdr:colOff>480330</xdr:colOff>
      <xdr:row>14</xdr:row>
      <xdr:rowOff>33470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04F9D93A-20DD-430C-9E5B-52477CF90FCE}"/>
            </a:ext>
          </a:extLst>
        </xdr:cNvPr>
        <xdr:cNvSpPr/>
      </xdr:nvSpPr>
      <xdr:spPr>
        <a:xfrm rot="2663160">
          <a:off x="6240983" y="2236456"/>
          <a:ext cx="556898" cy="536186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362361</xdr:colOff>
      <xdr:row>12</xdr:row>
      <xdr:rowOff>124169</xdr:rowOff>
    </xdr:from>
    <xdr:to>
      <xdr:col>5</xdr:col>
      <xdr:colOff>1476069</xdr:colOff>
      <xdr:row>12</xdr:row>
      <xdr:rowOff>125666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28EE211D-509B-433D-C4F9-777FDCCE2600}"/>
            </a:ext>
          </a:extLst>
        </xdr:cNvPr>
        <xdr:cNvCxnSpPr>
          <a:stCxn id="32" idx="5"/>
          <a:endCxn id="51" idx="3"/>
        </xdr:cNvCxnSpPr>
      </xdr:nvCxnSpPr>
      <xdr:spPr>
        <a:xfrm>
          <a:off x="5132414" y="2500803"/>
          <a:ext cx="1113708" cy="14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59047</xdr:colOff>
      <xdr:row>11</xdr:row>
      <xdr:rowOff>144880</xdr:rowOff>
    </xdr:from>
    <xdr:ext cx="261225" cy="280205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54B041E-26BE-4F15-91FE-F73D98E0A947}"/>
            </a:ext>
          </a:extLst>
        </xdr:cNvPr>
        <xdr:cNvSpPr txBox="1"/>
      </xdr:nvSpPr>
      <xdr:spPr>
        <a:xfrm>
          <a:off x="6376598" y="2340246"/>
          <a:ext cx="2612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>
              <a:solidFill>
                <a:schemeClr val="tx1"/>
              </a:solidFill>
            </a:rPr>
            <a:t>e</a:t>
          </a:r>
        </a:p>
      </xdr:txBody>
    </xdr:sp>
    <xdr:clientData/>
  </xdr:oneCellAnchor>
  <xdr:oneCellAnchor>
    <xdr:from>
      <xdr:col>6</xdr:col>
      <xdr:colOff>137059</xdr:colOff>
      <xdr:row>12</xdr:row>
      <xdr:rowOff>96240</xdr:rowOff>
    </xdr:from>
    <xdr:ext cx="243143" cy="233205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745DEC05-181E-4FE0-8C4B-0FBDE6E89E06}"/>
            </a:ext>
          </a:extLst>
        </xdr:cNvPr>
        <xdr:cNvSpPr txBox="1"/>
      </xdr:nvSpPr>
      <xdr:spPr>
        <a:xfrm>
          <a:off x="6454610" y="2472874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5</a:t>
          </a:r>
        </a:p>
      </xdr:txBody>
    </xdr:sp>
    <xdr:clientData/>
  </xdr:oneCellAnchor>
  <xdr:oneCellAnchor>
    <xdr:from>
      <xdr:col>6</xdr:col>
      <xdr:colOff>137965</xdr:colOff>
      <xdr:row>11</xdr:row>
      <xdr:rowOff>87982</xdr:rowOff>
    </xdr:from>
    <xdr:ext cx="245324" cy="233205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2E0CAF85-6E00-40AF-9C62-6CE8B365B3C1}"/>
            </a:ext>
          </a:extLst>
        </xdr:cNvPr>
        <xdr:cNvSpPr txBox="1"/>
      </xdr:nvSpPr>
      <xdr:spPr>
        <a:xfrm>
          <a:off x="6455516" y="2283348"/>
          <a:ext cx="2453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>
              <a:solidFill>
                <a:schemeClr val="tx1"/>
              </a:solidFill>
            </a:rPr>
            <a:t>p</a:t>
          </a:r>
        </a:p>
      </xdr:txBody>
    </xdr:sp>
    <xdr:clientData/>
  </xdr:oneCellAnchor>
  <xdr:twoCellAnchor>
    <xdr:from>
      <xdr:col>2</xdr:col>
      <xdr:colOff>1583365</xdr:colOff>
      <xdr:row>13</xdr:row>
      <xdr:rowOff>29758</xdr:rowOff>
    </xdr:from>
    <xdr:to>
      <xdr:col>2</xdr:col>
      <xdr:colOff>2578634</xdr:colOff>
      <xdr:row>16</xdr:row>
      <xdr:rowOff>175844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331C1F7-5BB9-EFA3-A8E2-E3CA248209BF}"/>
            </a:ext>
          </a:extLst>
        </xdr:cNvPr>
        <xdr:cNvCxnSpPr>
          <a:stCxn id="23" idx="6"/>
          <a:endCxn id="32" idx="2"/>
        </xdr:cNvCxnSpPr>
      </xdr:nvCxnSpPr>
      <xdr:spPr>
        <a:xfrm flipV="1">
          <a:off x="3634387" y="2587661"/>
          <a:ext cx="995269" cy="68989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5AD0-A306-42BE-8578-518D9CCD224A}">
  <dimension ref="A1:H9"/>
  <sheetViews>
    <sheetView tabSelected="1" topLeftCell="C1" workbookViewId="0">
      <selection activeCell="F12" sqref="F12"/>
    </sheetView>
  </sheetViews>
  <sheetFormatPr baseColWidth="10" defaultRowHeight="14.5" x14ac:dyDescent="0.35"/>
  <cols>
    <col min="2" max="2" width="41.36328125" customWidth="1"/>
    <col min="3" max="3" width="38.36328125" customWidth="1"/>
    <col min="4" max="4" width="24.6328125" customWidth="1"/>
    <col min="6" max="6" width="33.6328125" customWidth="1"/>
    <col min="7" max="7" width="27" customWidth="1"/>
    <col min="8" max="8" width="19.1796875" customWidth="1"/>
  </cols>
  <sheetData>
    <row r="1" spans="1:8" x14ac:dyDescent="0.35">
      <c r="A1" s="3" t="s">
        <v>0</v>
      </c>
      <c r="B1" s="3" t="s">
        <v>25</v>
      </c>
      <c r="C1" s="2" t="s">
        <v>3</v>
      </c>
      <c r="D1" s="2" t="s">
        <v>7</v>
      </c>
      <c r="E1" s="2" t="s">
        <v>8</v>
      </c>
      <c r="F1" s="2" t="s">
        <v>4</v>
      </c>
      <c r="G1" s="2" t="s">
        <v>5</v>
      </c>
      <c r="H1" s="2" t="s">
        <v>6</v>
      </c>
    </row>
    <row r="2" spans="1:8" x14ac:dyDescent="0.35">
      <c r="A2" s="1">
        <v>1</v>
      </c>
      <c r="B2" t="s">
        <v>26</v>
      </c>
      <c r="C2" s="1" t="s">
        <v>15</v>
      </c>
      <c r="D2" s="1" t="s">
        <v>13</v>
      </c>
      <c r="E2" s="1" t="s">
        <v>14</v>
      </c>
      <c r="F2" s="1">
        <v>0</v>
      </c>
      <c r="G2" s="1">
        <v>0</v>
      </c>
      <c r="H2" s="1">
        <v>0</v>
      </c>
    </row>
    <row r="3" spans="1:8" x14ac:dyDescent="0.35">
      <c r="A3" s="1">
        <v>2</v>
      </c>
      <c r="B3" t="s">
        <v>26</v>
      </c>
      <c r="C3" s="1" t="s">
        <v>1</v>
      </c>
      <c r="D3" s="1" t="s">
        <v>16</v>
      </c>
      <c r="E3" s="1" t="s">
        <v>17</v>
      </c>
      <c r="F3" s="1">
        <v>2</v>
      </c>
      <c r="G3" s="1">
        <v>7</v>
      </c>
      <c r="H3" s="1">
        <v>1</v>
      </c>
    </row>
    <row r="4" spans="1:8" x14ac:dyDescent="0.35">
      <c r="A4" s="1">
        <v>3</v>
      </c>
      <c r="B4" t="s">
        <v>26</v>
      </c>
      <c r="C4" s="1" t="s">
        <v>2</v>
      </c>
      <c r="D4" s="1" t="s">
        <v>18</v>
      </c>
      <c r="E4" s="1" t="s">
        <v>19</v>
      </c>
      <c r="F4" s="1">
        <v>0</v>
      </c>
      <c r="G4" s="1">
        <v>2</v>
      </c>
      <c r="H4" s="1">
        <v>1</v>
      </c>
    </row>
    <row r="5" spans="1:8" x14ac:dyDescent="0.35">
      <c r="A5" s="1">
        <v>4</v>
      </c>
      <c r="B5" t="s">
        <v>26</v>
      </c>
      <c r="C5" s="1" t="s">
        <v>15</v>
      </c>
      <c r="D5" s="1" t="s">
        <v>13</v>
      </c>
      <c r="E5" s="1" t="s">
        <v>14</v>
      </c>
      <c r="F5" s="1">
        <v>1</v>
      </c>
      <c r="G5" s="1">
        <v>5</v>
      </c>
      <c r="H5" s="1">
        <v>2</v>
      </c>
    </row>
    <row r="6" spans="1:8" x14ac:dyDescent="0.35">
      <c r="A6" s="1">
        <v>1</v>
      </c>
      <c r="B6" t="s">
        <v>31</v>
      </c>
      <c r="C6" s="1" t="s">
        <v>15</v>
      </c>
      <c r="D6" s="1" t="s">
        <v>13</v>
      </c>
      <c r="E6" s="1" t="s">
        <v>14</v>
      </c>
      <c r="F6" s="1">
        <v>0</v>
      </c>
      <c r="G6" s="1">
        <v>0</v>
      </c>
      <c r="H6" s="1">
        <v>0</v>
      </c>
    </row>
    <row r="7" spans="1:8" x14ac:dyDescent="0.35">
      <c r="A7" s="1">
        <v>2</v>
      </c>
      <c r="B7" t="s">
        <v>31</v>
      </c>
      <c r="C7" s="1" t="s">
        <v>1</v>
      </c>
      <c r="D7" s="1" t="s">
        <v>16</v>
      </c>
      <c r="E7" s="1" t="s">
        <v>17</v>
      </c>
      <c r="F7" s="1">
        <v>2</v>
      </c>
      <c r="G7" s="1">
        <v>7</v>
      </c>
      <c r="H7" s="1">
        <v>1</v>
      </c>
    </row>
    <row r="8" spans="1:8" x14ac:dyDescent="0.35">
      <c r="A8" s="1">
        <v>3</v>
      </c>
      <c r="B8" t="s">
        <v>31</v>
      </c>
      <c r="C8" s="1" t="s">
        <v>2</v>
      </c>
      <c r="D8" s="1" t="s">
        <v>18</v>
      </c>
      <c r="E8" s="1" t="s">
        <v>19</v>
      </c>
      <c r="F8" s="1">
        <v>0</v>
      </c>
      <c r="G8" s="1">
        <v>2</v>
      </c>
      <c r="H8" s="1">
        <v>2</v>
      </c>
    </row>
    <row r="9" spans="1:8" x14ac:dyDescent="0.35">
      <c r="A9" s="1">
        <v>4</v>
      </c>
      <c r="B9" t="s">
        <v>31</v>
      </c>
      <c r="C9" s="1" t="s">
        <v>15</v>
      </c>
      <c r="D9" s="1" t="s">
        <v>13</v>
      </c>
      <c r="E9" s="1" t="s">
        <v>14</v>
      </c>
      <c r="F9" s="1">
        <v>1</v>
      </c>
      <c r="G9" s="1">
        <v>5</v>
      </c>
      <c r="H9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429-3D28-45BF-BA2A-FB4AC530B5E2}">
  <dimension ref="A3:D117"/>
  <sheetViews>
    <sheetView workbookViewId="0">
      <selection activeCell="D22" sqref="D22"/>
    </sheetView>
  </sheetViews>
  <sheetFormatPr baseColWidth="10" defaultRowHeight="14.5" x14ac:dyDescent="0.35"/>
  <sheetData>
    <row r="3" spans="1:4" x14ac:dyDescent="0.35">
      <c r="B3" s="1" t="s">
        <v>32</v>
      </c>
      <c r="C3" t="s">
        <v>33</v>
      </c>
      <c r="D3" t="s">
        <v>39</v>
      </c>
    </row>
    <row r="4" spans="1:4" x14ac:dyDescent="0.35">
      <c r="A4" t="s">
        <v>34</v>
      </c>
      <c r="B4">
        <f>B8*B11</f>
        <v>7600</v>
      </c>
      <c r="C4">
        <f>C8*C11</f>
        <v>3800</v>
      </c>
      <c r="D4">
        <f>AVERAGE(B4:C4)</f>
        <v>5700</v>
      </c>
    </row>
    <row r="5" spans="1:4" x14ac:dyDescent="0.35">
      <c r="A5" t="s">
        <v>35</v>
      </c>
      <c r="B5">
        <f>B9*B10</f>
        <v>9600</v>
      </c>
      <c r="C5">
        <f>C9*C10</f>
        <v>12000</v>
      </c>
      <c r="D5">
        <f>AVERAGE(B5:C5)</f>
        <v>10800</v>
      </c>
    </row>
    <row r="7" spans="1:4" x14ac:dyDescent="0.35">
      <c r="B7" t="s">
        <v>32</v>
      </c>
      <c r="C7" t="s">
        <v>33</v>
      </c>
    </row>
    <row r="8" spans="1:4" x14ac:dyDescent="0.35">
      <c r="A8" t="s">
        <v>34</v>
      </c>
      <c r="B8">
        <v>950</v>
      </c>
      <c r="C8">
        <v>950</v>
      </c>
      <c r="D8">
        <f>950/105</f>
        <v>9.0476190476190474</v>
      </c>
    </row>
    <row r="9" spans="1:4" x14ac:dyDescent="0.35">
      <c r="A9" t="s">
        <v>36</v>
      </c>
      <c r="B9">
        <v>120</v>
      </c>
      <c r="C9">
        <v>120</v>
      </c>
    </row>
    <row r="10" spans="1:4" x14ac:dyDescent="0.35">
      <c r="A10" t="s">
        <v>37</v>
      </c>
      <c r="B10">
        <v>80</v>
      </c>
      <c r="C10">
        <v>100</v>
      </c>
    </row>
    <row r="11" spans="1:4" x14ac:dyDescent="0.35">
      <c r="A11" t="s">
        <v>38</v>
      </c>
      <c r="B11">
        <v>8</v>
      </c>
      <c r="C11">
        <v>4</v>
      </c>
    </row>
    <row r="13" spans="1:4" x14ac:dyDescent="0.35">
      <c r="A13">
        <v>1</v>
      </c>
      <c r="B13">
        <f>9*A13</f>
        <v>9</v>
      </c>
    </row>
    <row r="14" spans="1:4" x14ac:dyDescent="0.35">
      <c r="A14">
        <v>2</v>
      </c>
      <c r="B14">
        <f t="shared" ref="B14:B77" si="0">9*A14</f>
        <v>18</v>
      </c>
    </row>
    <row r="15" spans="1:4" x14ac:dyDescent="0.35">
      <c r="A15">
        <v>3</v>
      </c>
      <c r="B15">
        <f t="shared" si="0"/>
        <v>27</v>
      </c>
    </row>
    <row r="16" spans="1:4" x14ac:dyDescent="0.35">
      <c r="A16">
        <v>4</v>
      </c>
      <c r="B16">
        <f t="shared" si="0"/>
        <v>36</v>
      </c>
    </row>
    <row r="17" spans="1:2" x14ac:dyDescent="0.35">
      <c r="A17">
        <v>5</v>
      </c>
      <c r="B17">
        <f t="shared" si="0"/>
        <v>45</v>
      </c>
    </row>
    <row r="18" spans="1:2" x14ac:dyDescent="0.35">
      <c r="A18">
        <v>6</v>
      </c>
      <c r="B18">
        <f t="shared" si="0"/>
        <v>54</v>
      </c>
    </row>
    <row r="19" spans="1:2" x14ac:dyDescent="0.35">
      <c r="A19">
        <v>7</v>
      </c>
      <c r="B19">
        <f t="shared" si="0"/>
        <v>63</v>
      </c>
    </row>
    <row r="20" spans="1:2" x14ac:dyDescent="0.35">
      <c r="A20">
        <v>8</v>
      </c>
      <c r="B20">
        <f t="shared" si="0"/>
        <v>72</v>
      </c>
    </row>
    <row r="21" spans="1:2" x14ac:dyDescent="0.35">
      <c r="A21">
        <v>9</v>
      </c>
      <c r="B21">
        <f t="shared" si="0"/>
        <v>81</v>
      </c>
    </row>
    <row r="22" spans="1:2" x14ac:dyDescent="0.35">
      <c r="A22">
        <v>10</v>
      </c>
      <c r="B22">
        <f t="shared" si="0"/>
        <v>90</v>
      </c>
    </row>
    <row r="23" spans="1:2" x14ac:dyDescent="0.35">
      <c r="A23">
        <v>11</v>
      </c>
      <c r="B23">
        <f t="shared" si="0"/>
        <v>99</v>
      </c>
    </row>
    <row r="24" spans="1:2" x14ac:dyDescent="0.35">
      <c r="A24">
        <v>12</v>
      </c>
      <c r="B24">
        <f t="shared" si="0"/>
        <v>108</v>
      </c>
    </row>
    <row r="25" spans="1:2" x14ac:dyDescent="0.35">
      <c r="A25">
        <v>13</v>
      </c>
      <c r="B25">
        <f t="shared" si="0"/>
        <v>117</v>
      </c>
    </row>
    <row r="26" spans="1:2" x14ac:dyDescent="0.35">
      <c r="A26">
        <v>14</v>
      </c>
      <c r="B26">
        <f t="shared" si="0"/>
        <v>126</v>
      </c>
    </row>
    <row r="27" spans="1:2" x14ac:dyDescent="0.35">
      <c r="A27">
        <v>15</v>
      </c>
      <c r="B27">
        <f t="shared" si="0"/>
        <v>135</v>
      </c>
    </row>
    <row r="28" spans="1:2" x14ac:dyDescent="0.35">
      <c r="A28">
        <v>16</v>
      </c>
      <c r="B28">
        <f t="shared" si="0"/>
        <v>144</v>
      </c>
    </row>
    <row r="29" spans="1:2" x14ac:dyDescent="0.35">
      <c r="A29">
        <v>17</v>
      </c>
      <c r="B29">
        <f t="shared" si="0"/>
        <v>153</v>
      </c>
    </row>
    <row r="30" spans="1:2" x14ac:dyDescent="0.35">
      <c r="A30">
        <v>18</v>
      </c>
      <c r="B30">
        <f t="shared" si="0"/>
        <v>162</v>
      </c>
    </row>
    <row r="31" spans="1:2" x14ac:dyDescent="0.35">
      <c r="A31">
        <v>19</v>
      </c>
      <c r="B31">
        <f t="shared" si="0"/>
        <v>171</v>
      </c>
    </row>
    <row r="32" spans="1:2" x14ac:dyDescent="0.35">
      <c r="A32">
        <v>20</v>
      </c>
      <c r="B32">
        <f t="shared" si="0"/>
        <v>180</v>
      </c>
    </row>
    <row r="33" spans="1:2" x14ac:dyDescent="0.35">
      <c r="A33">
        <v>21</v>
      </c>
      <c r="B33">
        <f t="shared" si="0"/>
        <v>189</v>
      </c>
    </row>
    <row r="34" spans="1:2" x14ac:dyDescent="0.35">
      <c r="A34">
        <v>22</v>
      </c>
      <c r="B34">
        <f t="shared" si="0"/>
        <v>198</v>
      </c>
    </row>
    <row r="35" spans="1:2" x14ac:dyDescent="0.35">
      <c r="A35">
        <v>23</v>
      </c>
      <c r="B35">
        <f t="shared" si="0"/>
        <v>207</v>
      </c>
    </row>
    <row r="36" spans="1:2" x14ac:dyDescent="0.35">
      <c r="A36">
        <v>24</v>
      </c>
      <c r="B36">
        <f t="shared" si="0"/>
        <v>216</v>
      </c>
    </row>
    <row r="37" spans="1:2" x14ac:dyDescent="0.35">
      <c r="A37">
        <v>25</v>
      </c>
      <c r="B37">
        <f t="shared" si="0"/>
        <v>225</v>
      </c>
    </row>
    <row r="38" spans="1:2" x14ac:dyDescent="0.35">
      <c r="A38">
        <v>26</v>
      </c>
      <c r="B38">
        <f t="shared" si="0"/>
        <v>234</v>
      </c>
    </row>
    <row r="39" spans="1:2" x14ac:dyDescent="0.35">
      <c r="A39">
        <v>27</v>
      </c>
      <c r="B39">
        <f t="shared" si="0"/>
        <v>243</v>
      </c>
    </row>
    <row r="40" spans="1:2" x14ac:dyDescent="0.35">
      <c r="A40">
        <v>28</v>
      </c>
      <c r="B40">
        <f t="shared" si="0"/>
        <v>252</v>
      </c>
    </row>
    <row r="41" spans="1:2" x14ac:dyDescent="0.35">
      <c r="A41">
        <v>29</v>
      </c>
      <c r="B41">
        <f t="shared" si="0"/>
        <v>261</v>
      </c>
    </row>
    <row r="42" spans="1:2" x14ac:dyDescent="0.35">
      <c r="A42">
        <v>30</v>
      </c>
      <c r="B42">
        <f t="shared" si="0"/>
        <v>270</v>
      </c>
    </row>
    <row r="43" spans="1:2" x14ac:dyDescent="0.35">
      <c r="A43">
        <v>31</v>
      </c>
      <c r="B43">
        <f t="shared" si="0"/>
        <v>279</v>
      </c>
    </row>
    <row r="44" spans="1:2" x14ac:dyDescent="0.35">
      <c r="A44">
        <v>32</v>
      </c>
      <c r="B44">
        <f t="shared" si="0"/>
        <v>288</v>
      </c>
    </row>
    <row r="45" spans="1:2" x14ac:dyDescent="0.35">
      <c r="A45">
        <v>33</v>
      </c>
      <c r="B45">
        <f t="shared" si="0"/>
        <v>297</v>
      </c>
    </row>
    <row r="46" spans="1:2" x14ac:dyDescent="0.35">
      <c r="A46">
        <v>34</v>
      </c>
      <c r="B46">
        <f t="shared" si="0"/>
        <v>306</v>
      </c>
    </row>
    <row r="47" spans="1:2" x14ac:dyDescent="0.35">
      <c r="A47">
        <v>35</v>
      </c>
      <c r="B47">
        <f t="shared" si="0"/>
        <v>315</v>
      </c>
    </row>
    <row r="48" spans="1:2" x14ac:dyDescent="0.35">
      <c r="A48">
        <v>36</v>
      </c>
      <c r="B48">
        <f t="shared" si="0"/>
        <v>324</v>
      </c>
    </row>
    <row r="49" spans="1:2" x14ac:dyDescent="0.35">
      <c r="A49">
        <v>37</v>
      </c>
      <c r="B49">
        <f t="shared" si="0"/>
        <v>333</v>
      </c>
    </row>
    <row r="50" spans="1:2" x14ac:dyDescent="0.35">
      <c r="A50">
        <v>38</v>
      </c>
      <c r="B50">
        <f t="shared" si="0"/>
        <v>342</v>
      </c>
    </row>
    <row r="51" spans="1:2" x14ac:dyDescent="0.35">
      <c r="A51">
        <v>39</v>
      </c>
      <c r="B51">
        <f t="shared" si="0"/>
        <v>351</v>
      </c>
    </row>
    <row r="52" spans="1:2" x14ac:dyDescent="0.35">
      <c r="A52">
        <v>40</v>
      </c>
      <c r="B52">
        <f t="shared" si="0"/>
        <v>360</v>
      </c>
    </row>
    <row r="53" spans="1:2" x14ac:dyDescent="0.35">
      <c r="A53">
        <v>41</v>
      </c>
      <c r="B53">
        <f t="shared" si="0"/>
        <v>369</v>
      </c>
    </row>
    <row r="54" spans="1:2" x14ac:dyDescent="0.35">
      <c r="A54">
        <v>42</v>
      </c>
      <c r="B54">
        <f t="shared" si="0"/>
        <v>378</v>
      </c>
    </row>
    <row r="55" spans="1:2" x14ac:dyDescent="0.35">
      <c r="A55">
        <v>43</v>
      </c>
      <c r="B55">
        <f t="shared" si="0"/>
        <v>387</v>
      </c>
    </row>
    <row r="56" spans="1:2" x14ac:dyDescent="0.35">
      <c r="A56">
        <v>44</v>
      </c>
      <c r="B56">
        <f t="shared" si="0"/>
        <v>396</v>
      </c>
    </row>
    <row r="57" spans="1:2" x14ac:dyDescent="0.35">
      <c r="A57">
        <v>45</v>
      </c>
      <c r="B57">
        <f t="shared" si="0"/>
        <v>405</v>
      </c>
    </row>
    <row r="58" spans="1:2" x14ac:dyDescent="0.35">
      <c r="A58">
        <v>46</v>
      </c>
      <c r="B58">
        <f t="shared" si="0"/>
        <v>414</v>
      </c>
    </row>
    <row r="59" spans="1:2" x14ac:dyDescent="0.35">
      <c r="A59">
        <v>47</v>
      </c>
      <c r="B59">
        <f t="shared" si="0"/>
        <v>423</v>
      </c>
    </row>
    <row r="60" spans="1:2" x14ac:dyDescent="0.35">
      <c r="A60">
        <v>48</v>
      </c>
      <c r="B60">
        <f t="shared" si="0"/>
        <v>432</v>
      </c>
    </row>
    <row r="61" spans="1:2" x14ac:dyDescent="0.35">
      <c r="A61">
        <v>49</v>
      </c>
      <c r="B61">
        <f t="shared" si="0"/>
        <v>441</v>
      </c>
    </row>
    <row r="62" spans="1:2" x14ac:dyDescent="0.35">
      <c r="A62">
        <v>50</v>
      </c>
      <c r="B62">
        <f t="shared" si="0"/>
        <v>450</v>
      </c>
    </row>
    <row r="63" spans="1:2" x14ac:dyDescent="0.35">
      <c r="A63">
        <v>51</v>
      </c>
      <c r="B63">
        <f t="shared" si="0"/>
        <v>459</v>
      </c>
    </row>
    <row r="64" spans="1:2" x14ac:dyDescent="0.35">
      <c r="A64">
        <v>52</v>
      </c>
      <c r="B64">
        <f t="shared" si="0"/>
        <v>468</v>
      </c>
    </row>
    <row r="65" spans="1:2" x14ac:dyDescent="0.35">
      <c r="A65">
        <v>53</v>
      </c>
      <c r="B65">
        <f t="shared" si="0"/>
        <v>477</v>
      </c>
    </row>
    <row r="66" spans="1:2" x14ac:dyDescent="0.35">
      <c r="A66">
        <v>54</v>
      </c>
      <c r="B66">
        <f t="shared" si="0"/>
        <v>486</v>
      </c>
    </row>
    <row r="67" spans="1:2" x14ac:dyDescent="0.35">
      <c r="A67">
        <v>55</v>
      </c>
      <c r="B67">
        <f t="shared" si="0"/>
        <v>495</v>
      </c>
    </row>
    <row r="68" spans="1:2" x14ac:dyDescent="0.35">
      <c r="A68">
        <v>56</v>
      </c>
      <c r="B68">
        <f t="shared" si="0"/>
        <v>504</v>
      </c>
    </row>
    <row r="69" spans="1:2" x14ac:dyDescent="0.35">
      <c r="A69">
        <v>57</v>
      </c>
      <c r="B69">
        <f t="shared" si="0"/>
        <v>513</v>
      </c>
    </row>
    <row r="70" spans="1:2" x14ac:dyDescent="0.35">
      <c r="A70">
        <v>58</v>
      </c>
      <c r="B70">
        <f t="shared" si="0"/>
        <v>522</v>
      </c>
    </row>
    <row r="71" spans="1:2" x14ac:dyDescent="0.35">
      <c r="A71">
        <v>59</v>
      </c>
      <c r="B71">
        <f t="shared" si="0"/>
        <v>531</v>
      </c>
    </row>
    <row r="72" spans="1:2" x14ac:dyDescent="0.35">
      <c r="A72">
        <v>60</v>
      </c>
      <c r="B72">
        <f t="shared" si="0"/>
        <v>540</v>
      </c>
    </row>
    <row r="73" spans="1:2" x14ac:dyDescent="0.35">
      <c r="A73">
        <v>61</v>
      </c>
      <c r="B73">
        <f t="shared" si="0"/>
        <v>549</v>
      </c>
    </row>
    <row r="74" spans="1:2" x14ac:dyDescent="0.35">
      <c r="A74">
        <v>62</v>
      </c>
      <c r="B74">
        <f t="shared" si="0"/>
        <v>558</v>
      </c>
    </row>
    <row r="75" spans="1:2" x14ac:dyDescent="0.35">
      <c r="A75">
        <v>63</v>
      </c>
      <c r="B75">
        <f t="shared" si="0"/>
        <v>567</v>
      </c>
    </row>
    <row r="76" spans="1:2" x14ac:dyDescent="0.35">
      <c r="A76">
        <v>64</v>
      </c>
      <c r="B76">
        <f t="shared" si="0"/>
        <v>576</v>
      </c>
    </row>
    <row r="77" spans="1:2" x14ac:dyDescent="0.35">
      <c r="A77">
        <v>65</v>
      </c>
      <c r="B77">
        <f t="shared" si="0"/>
        <v>585</v>
      </c>
    </row>
    <row r="78" spans="1:2" x14ac:dyDescent="0.35">
      <c r="A78">
        <v>66</v>
      </c>
      <c r="B78">
        <f t="shared" ref="B78:B117" si="1">9*A78</f>
        <v>594</v>
      </c>
    </row>
    <row r="79" spans="1:2" x14ac:dyDescent="0.35">
      <c r="A79">
        <v>67</v>
      </c>
      <c r="B79">
        <f t="shared" si="1"/>
        <v>603</v>
      </c>
    </row>
    <row r="80" spans="1:2" x14ac:dyDescent="0.35">
      <c r="A80">
        <v>68</v>
      </c>
      <c r="B80">
        <f t="shared" si="1"/>
        <v>612</v>
      </c>
    </row>
    <row r="81" spans="1:2" x14ac:dyDescent="0.35">
      <c r="A81">
        <v>69</v>
      </c>
      <c r="B81">
        <f t="shared" si="1"/>
        <v>621</v>
      </c>
    </row>
    <row r="82" spans="1:2" x14ac:dyDescent="0.35">
      <c r="A82">
        <v>70</v>
      </c>
      <c r="B82">
        <f t="shared" si="1"/>
        <v>630</v>
      </c>
    </row>
    <row r="83" spans="1:2" x14ac:dyDescent="0.35">
      <c r="A83">
        <v>71</v>
      </c>
      <c r="B83">
        <f t="shared" si="1"/>
        <v>639</v>
      </c>
    </row>
    <row r="84" spans="1:2" x14ac:dyDescent="0.35">
      <c r="A84">
        <v>72</v>
      </c>
      <c r="B84">
        <f t="shared" si="1"/>
        <v>648</v>
      </c>
    </row>
    <row r="85" spans="1:2" x14ac:dyDescent="0.35">
      <c r="A85">
        <v>73</v>
      </c>
      <c r="B85">
        <f t="shared" si="1"/>
        <v>657</v>
      </c>
    </row>
    <row r="86" spans="1:2" x14ac:dyDescent="0.35">
      <c r="A86">
        <v>74</v>
      </c>
      <c r="B86">
        <f t="shared" si="1"/>
        <v>666</v>
      </c>
    </row>
    <row r="87" spans="1:2" x14ac:dyDescent="0.35">
      <c r="A87">
        <v>75</v>
      </c>
      <c r="B87">
        <f t="shared" si="1"/>
        <v>675</v>
      </c>
    </row>
    <row r="88" spans="1:2" x14ac:dyDescent="0.35">
      <c r="A88">
        <v>76</v>
      </c>
      <c r="B88">
        <f t="shared" si="1"/>
        <v>684</v>
      </c>
    </row>
    <row r="89" spans="1:2" x14ac:dyDescent="0.35">
      <c r="A89">
        <v>77</v>
      </c>
      <c r="B89">
        <f t="shared" si="1"/>
        <v>693</v>
      </c>
    </row>
    <row r="90" spans="1:2" x14ac:dyDescent="0.35">
      <c r="A90">
        <v>78</v>
      </c>
      <c r="B90">
        <f t="shared" si="1"/>
        <v>702</v>
      </c>
    </row>
    <row r="91" spans="1:2" x14ac:dyDescent="0.35">
      <c r="A91">
        <v>79</v>
      </c>
      <c r="B91">
        <f t="shared" si="1"/>
        <v>711</v>
      </c>
    </row>
    <row r="92" spans="1:2" x14ac:dyDescent="0.35">
      <c r="A92">
        <v>80</v>
      </c>
      <c r="B92">
        <f t="shared" si="1"/>
        <v>720</v>
      </c>
    </row>
    <row r="93" spans="1:2" x14ac:dyDescent="0.35">
      <c r="A93">
        <v>81</v>
      </c>
      <c r="B93">
        <f t="shared" si="1"/>
        <v>729</v>
      </c>
    </row>
    <row r="94" spans="1:2" x14ac:dyDescent="0.35">
      <c r="A94">
        <v>82</v>
      </c>
      <c r="B94">
        <f t="shared" si="1"/>
        <v>738</v>
      </c>
    </row>
    <row r="95" spans="1:2" x14ac:dyDescent="0.35">
      <c r="A95">
        <v>83</v>
      </c>
      <c r="B95">
        <f t="shared" si="1"/>
        <v>747</v>
      </c>
    </row>
    <row r="96" spans="1:2" x14ac:dyDescent="0.35">
      <c r="A96">
        <v>84</v>
      </c>
      <c r="B96">
        <f t="shared" si="1"/>
        <v>756</v>
      </c>
    </row>
    <row r="97" spans="1:2" x14ac:dyDescent="0.35">
      <c r="A97">
        <v>85</v>
      </c>
      <c r="B97">
        <f t="shared" si="1"/>
        <v>765</v>
      </c>
    </row>
    <row r="98" spans="1:2" x14ac:dyDescent="0.35">
      <c r="A98">
        <v>86</v>
      </c>
      <c r="B98">
        <f t="shared" si="1"/>
        <v>774</v>
      </c>
    </row>
    <row r="99" spans="1:2" x14ac:dyDescent="0.35">
      <c r="A99">
        <v>87</v>
      </c>
      <c r="B99">
        <f t="shared" si="1"/>
        <v>783</v>
      </c>
    </row>
    <row r="100" spans="1:2" x14ac:dyDescent="0.35">
      <c r="A100">
        <v>88</v>
      </c>
      <c r="B100">
        <f t="shared" si="1"/>
        <v>792</v>
      </c>
    </row>
    <row r="101" spans="1:2" x14ac:dyDescent="0.35">
      <c r="A101">
        <v>89</v>
      </c>
      <c r="B101">
        <f t="shared" si="1"/>
        <v>801</v>
      </c>
    </row>
    <row r="102" spans="1:2" x14ac:dyDescent="0.35">
      <c r="A102">
        <v>90</v>
      </c>
      <c r="B102">
        <f t="shared" si="1"/>
        <v>810</v>
      </c>
    </row>
    <row r="103" spans="1:2" x14ac:dyDescent="0.35">
      <c r="A103">
        <v>91</v>
      </c>
      <c r="B103">
        <f t="shared" si="1"/>
        <v>819</v>
      </c>
    </row>
    <row r="104" spans="1:2" x14ac:dyDescent="0.35">
      <c r="A104">
        <v>92</v>
      </c>
      <c r="B104">
        <f t="shared" si="1"/>
        <v>828</v>
      </c>
    </row>
    <row r="105" spans="1:2" x14ac:dyDescent="0.35">
      <c r="A105">
        <v>93</v>
      </c>
      <c r="B105">
        <f t="shared" si="1"/>
        <v>837</v>
      </c>
    </row>
    <row r="106" spans="1:2" x14ac:dyDescent="0.35">
      <c r="A106">
        <v>94</v>
      </c>
      <c r="B106">
        <f t="shared" si="1"/>
        <v>846</v>
      </c>
    </row>
    <row r="107" spans="1:2" x14ac:dyDescent="0.35">
      <c r="A107">
        <v>95</v>
      </c>
      <c r="B107">
        <f t="shared" si="1"/>
        <v>855</v>
      </c>
    </row>
    <row r="108" spans="1:2" x14ac:dyDescent="0.35">
      <c r="A108">
        <v>96</v>
      </c>
      <c r="B108">
        <f t="shared" si="1"/>
        <v>864</v>
      </c>
    </row>
    <row r="109" spans="1:2" x14ac:dyDescent="0.35">
      <c r="A109">
        <v>97</v>
      </c>
      <c r="B109">
        <f t="shared" si="1"/>
        <v>873</v>
      </c>
    </row>
    <row r="110" spans="1:2" x14ac:dyDescent="0.35">
      <c r="A110">
        <v>98</v>
      </c>
      <c r="B110">
        <f t="shared" si="1"/>
        <v>882</v>
      </c>
    </row>
    <row r="111" spans="1:2" x14ac:dyDescent="0.35">
      <c r="A111">
        <v>99</v>
      </c>
      <c r="B111">
        <f t="shared" si="1"/>
        <v>891</v>
      </c>
    </row>
    <row r="112" spans="1:2" x14ac:dyDescent="0.35">
      <c r="A112">
        <v>100</v>
      </c>
      <c r="B112">
        <f t="shared" si="1"/>
        <v>900</v>
      </c>
    </row>
    <row r="113" spans="1:2" x14ac:dyDescent="0.35">
      <c r="A113">
        <v>101</v>
      </c>
      <c r="B113">
        <f t="shared" si="1"/>
        <v>909</v>
      </c>
    </row>
    <row r="114" spans="1:2" x14ac:dyDescent="0.35">
      <c r="A114">
        <v>102</v>
      </c>
      <c r="B114">
        <f t="shared" si="1"/>
        <v>918</v>
      </c>
    </row>
    <row r="115" spans="1:2" x14ac:dyDescent="0.35">
      <c r="A115">
        <v>103</v>
      </c>
      <c r="B115">
        <f t="shared" si="1"/>
        <v>927</v>
      </c>
    </row>
    <row r="116" spans="1:2" x14ac:dyDescent="0.35">
      <c r="A116">
        <v>104</v>
      </c>
      <c r="B116">
        <f t="shared" si="1"/>
        <v>936</v>
      </c>
    </row>
    <row r="117" spans="1:2" x14ac:dyDescent="0.35">
      <c r="A117">
        <v>105</v>
      </c>
      <c r="B117">
        <f t="shared" si="1"/>
        <v>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9C26-D3ED-4EA5-855F-CD3EB489399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A057-8087-4CAC-B01D-D328674AF7E4}">
  <dimension ref="A1:H41"/>
  <sheetViews>
    <sheetView workbookViewId="0">
      <selection activeCell="A3" sqref="A3:H13"/>
    </sheetView>
  </sheetViews>
  <sheetFormatPr baseColWidth="10" defaultRowHeight="14.5" x14ac:dyDescent="0.35"/>
  <sheetData>
    <row r="1" spans="1:8" x14ac:dyDescent="0.35">
      <c r="A1" t="s">
        <v>28</v>
      </c>
    </row>
    <row r="3" spans="1:8" x14ac:dyDescent="0.35">
      <c r="A3" s="3" t="s">
        <v>0</v>
      </c>
      <c r="B3" s="3" t="s">
        <v>25</v>
      </c>
      <c r="C3" s="2" t="s">
        <v>3</v>
      </c>
      <c r="D3" s="2" t="s">
        <v>7</v>
      </c>
      <c r="E3" s="2" t="s">
        <v>8</v>
      </c>
      <c r="F3" s="2" t="s">
        <v>4</v>
      </c>
      <c r="G3" s="2" t="s">
        <v>5</v>
      </c>
      <c r="H3" s="2" t="s">
        <v>6</v>
      </c>
    </row>
    <row r="4" spans="1:8" x14ac:dyDescent="0.35">
      <c r="A4" s="1">
        <v>1</v>
      </c>
      <c r="B4" t="s">
        <v>26</v>
      </c>
      <c r="C4" s="1" t="s">
        <v>15</v>
      </c>
      <c r="D4" s="1" t="s">
        <v>13</v>
      </c>
      <c r="E4" s="1" t="s">
        <v>14</v>
      </c>
      <c r="F4" s="1">
        <v>0</v>
      </c>
      <c r="G4" s="1">
        <v>0</v>
      </c>
      <c r="H4" s="1">
        <v>0</v>
      </c>
    </row>
    <row r="5" spans="1:8" x14ac:dyDescent="0.35">
      <c r="A5" s="1">
        <v>2</v>
      </c>
      <c r="B5" t="s">
        <v>26</v>
      </c>
      <c r="C5" s="1" t="s">
        <v>1</v>
      </c>
      <c r="D5" s="1" t="s">
        <v>16</v>
      </c>
      <c r="E5" s="1" t="s">
        <v>17</v>
      </c>
      <c r="F5" s="1">
        <v>5</v>
      </c>
      <c r="G5" s="1">
        <v>14</v>
      </c>
      <c r="H5" s="1">
        <v>1</v>
      </c>
    </row>
    <row r="6" spans="1:8" x14ac:dyDescent="0.35">
      <c r="A6" s="1">
        <v>3</v>
      </c>
      <c r="B6" t="s">
        <v>26</v>
      </c>
      <c r="C6" s="1" t="s">
        <v>2</v>
      </c>
      <c r="D6" s="1" t="s">
        <v>18</v>
      </c>
      <c r="E6" s="1" t="s">
        <v>19</v>
      </c>
      <c r="F6" s="1">
        <v>7</v>
      </c>
      <c r="G6" s="1">
        <v>12</v>
      </c>
      <c r="H6" s="1">
        <v>1</v>
      </c>
    </row>
    <row r="7" spans="1:8" x14ac:dyDescent="0.35">
      <c r="A7" s="1">
        <v>4</v>
      </c>
      <c r="B7" t="s">
        <v>26</v>
      </c>
      <c r="C7" s="1" t="s">
        <v>15</v>
      </c>
      <c r="D7" s="1" t="s">
        <v>13</v>
      </c>
      <c r="E7" s="1" t="s">
        <v>14</v>
      </c>
      <c r="F7" s="1">
        <v>8</v>
      </c>
      <c r="G7" s="1">
        <v>14</v>
      </c>
      <c r="H7" s="1">
        <v>3</v>
      </c>
    </row>
    <row r="8" spans="1:8" x14ac:dyDescent="0.35">
      <c r="A8" s="1">
        <v>5</v>
      </c>
      <c r="B8" t="s">
        <v>26</v>
      </c>
      <c r="C8" s="1" t="s">
        <v>24</v>
      </c>
      <c r="D8" s="1" t="s">
        <v>20</v>
      </c>
      <c r="E8" s="1" t="s">
        <v>21</v>
      </c>
      <c r="F8" s="1">
        <v>6</v>
      </c>
      <c r="G8" s="1">
        <v>14</v>
      </c>
      <c r="H8" s="1">
        <v>4</v>
      </c>
    </row>
    <row r="9" spans="1:8" x14ac:dyDescent="0.35">
      <c r="A9" s="1">
        <v>1</v>
      </c>
      <c r="B9" t="s">
        <v>27</v>
      </c>
      <c r="C9" s="1" t="s">
        <v>15</v>
      </c>
      <c r="D9" s="1" t="s">
        <v>13</v>
      </c>
      <c r="E9" s="1" t="s">
        <v>14</v>
      </c>
      <c r="F9" s="1">
        <v>0</v>
      </c>
      <c r="G9" s="1">
        <v>0</v>
      </c>
      <c r="H9" s="1">
        <v>0</v>
      </c>
    </row>
    <row r="10" spans="1:8" x14ac:dyDescent="0.35">
      <c r="A10" s="1">
        <v>2</v>
      </c>
      <c r="B10" t="s">
        <v>27</v>
      </c>
      <c r="C10" s="1" t="s">
        <v>1</v>
      </c>
      <c r="D10" s="1" t="s">
        <v>16</v>
      </c>
      <c r="E10" s="1" t="s">
        <v>17</v>
      </c>
      <c r="F10" s="1">
        <v>8</v>
      </c>
      <c r="G10" s="1">
        <v>14</v>
      </c>
      <c r="H10" s="1">
        <v>1</v>
      </c>
    </row>
    <row r="11" spans="1:8" x14ac:dyDescent="0.35">
      <c r="A11" s="1">
        <v>3</v>
      </c>
      <c r="B11" t="s">
        <v>27</v>
      </c>
      <c r="C11" s="1" t="s">
        <v>2</v>
      </c>
      <c r="D11" s="1" t="s">
        <v>18</v>
      </c>
      <c r="E11" s="1" t="s">
        <v>19</v>
      </c>
      <c r="F11" s="1">
        <v>10</v>
      </c>
      <c r="G11" s="1">
        <v>12</v>
      </c>
      <c r="H11" s="1">
        <v>1</v>
      </c>
    </row>
    <row r="12" spans="1:8" x14ac:dyDescent="0.35">
      <c r="A12" s="1">
        <v>4</v>
      </c>
      <c r="B12" t="s">
        <v>27</v>
      </c>
      <c r="C12" s="1" t="s">
        <v>15</v>
      </c>
      <c r="D12" s="1" t="s">
        <v>13</v>
      </c>
      <c r="E12" s="1" t="s">
        <v>14</v>
      </c>
      <c r="F12" s="1">
        <v>11</v>
      </c>
      <c r="G12" s="1">
        <v>14</v>
      </c>
      <c r="H12" s="1">
        <v>3</v>
      </c>
    </row>
    <row r="13" spans="1:8" x14ac:dyDescent="0.35">
      <c r="A13" s="1">
        <v>5</v>
      </c>
      <c r="B13" t="s">
        <v>27</v>
      </c>
      <c r="C13" s="1" t="s">
        <v>24</v>
      </c>
      <c r="D13" s="1" t="s">
        <v>20</v>
      </c>
      <c r="E13" s="1" t="s">
        <v>21</v>
      </c>
      <c r="F13" s="1">
        <v>9</v>
      </c>
      <c r="G13" s="1">
        <v>14</v>
      </c>
      <c r="H13" s="1">
        <v>4</v>
      </c>
    </row>
    <row r="15" spans="1:8" x14ac:dyDescent="0.35">
      <c r="A15" t="s">
        <v>29</v>
      </c>
    </row>
    <row r="17" spans="1:8" x14ac:dyDescent="0.35">
      <c r="A17" s="3" t="s">
        <v>0</v>
      </c>
      <c r="B17" s="3" t="s">
        <v>25</v>
      </c>
      <c r="C17" s="2" t="s">
        <v>3</v>
      </c>
      <c r="D17" s="2" t="s">
        <v>7</v>
      </c>
      <c r="E17" s="2" t="s">
        <v>8</v>
      </c>
      <c r="F17" s="2" t="s">
        <v>4</v>
      </c>
      <c r="G17" s="2" t="s">
        <v>5</v>
      </c>
      <c r="H17" s="2" t="s">
        <v>6</v>
      </c>
    </row>
    <row r="18" spans="1:8" x14ac:dyDescent="0.35">
      <c r="A18" s="1">
        <v>1</v>
      </c>
      <c r="B18" t="s">
        <v>26</v>
      </c>
      <c r="C18" s="1" t="s">
        <v>15</v>
      </c>
      <c r="D18" s="1" t="s">
        <v>13</v>
      </c>
      <c r="E18" s="1" t="s">
        <v>14</v>
      </c>
      <c r="F18" s="1">
        <v>0</v>
      </c>
      <c r="G18" s="1">
        <v>0</v>
      </c>
      <c r="H18" s="1">
        <v>0</v>
      </c>
    </row>
    <row r="19" spans="1:8" x14ac:dyDescent="0.35">
      <c r="A19" s="1">
        <v>2</v>
      </c>
      <c r="B19" t="s">
        <v>26</v>
      </c>
      <c r="C19" s="1" t="s">
        <v>1</v>
      </c>
      <c r="D19" s="1" t="s">
        <v>16</v>
      </c>
      <c r="E19" s="1" t="s">
        <v>17</v>
      </c>
      <c r="F19" s="1">
        <v>3</v>
      </c>
      <c r="G19" s="1">
        <v>14</v>
      </c>
      <c r="H19" s="1">
        <v>1</v>
      </c>
    </row>
    <row r="20" spans="1:8" x14ac:dyDescent="0.35">
      <c r="A20" s="1">
        <v>3</v>
      </c>
      <c r="B20" t="s">
        <v>26</v>
      </c>
      <c r="C20" s="1" t="s">
        <v>2</v>
      </c>
      <c r="D20" s="1" t="s">
        <v>18</v>
      </c>
      <c r="E20" s="1" t="s">
        <v>19</v>
      </c>
      <c r="F20" s="1">
        <v>2</v>
      </c>
      <c r="G20" s="1">
        <v>12</v>
      </c>
      <c r="H20" s="1">
        <v>1</v>
      </c>
    </row>
    <row r="21" spans="1:8" x14ac:dyDescent="0.35">
      <c r="A21" s="1">
        <v>4</v>
      </c>
      <c r="B21" t="s">
        <v>26</v>
      </c>
      <c r="C21" s="1" t="s">
        <v>15</v>
      </c>
      <c r="D21" s="1" t="s">
        <v>13</v>
      </c>
      <c r="E21" s="1" t="s">
        <v>14</v>
      </c>
      <c r="F21" s="1">
        <v>4</v>
      </c>
      <c r="G21" s="1">
        <v>14</v>
      </c>
      <c r="H21" s="1">
        <v>3</v>
      </c>
    </row>
    <row r="22" spans="1:8" x14ac:dyDescent="0.35">
      <c r="A22" s="1">
        <v>5</v>
      </c>
      <c r="B22" t="s">
        <v>26</v>
      </c>
      <c r="C22" s="1" t="s">
        <v>24</v>
      </c>
      <c r="D22" s="1" t="s">
        <v>20</v>
      </c>
      <c r="E22" s="1" t="s">
        <v>21</v>
      </c>
      <c r="F22" s="1">
        <v>1</v>
      </c>
      <c r="G22" s="1">
        <v>14</v>
      </c>
      <c r="H22" s="1">
        <v>4</v>
      </c>
    </row>
    <row r="23" spans="1:8" x14ac:dyDescent="0.35">
      <c r="A23" s="1">
        <v>1</v>
      </c>
      <c r="B23" t="s">
        <v>27</v>
      </c>
      <c r="C23" s="1" t="s">
        <v>15</v>
      </c>
      <c r="D23" s="1" t="s">
        <v>13</v>
      </c>
      <c r="E23" s="1" t="s">
        <v>14</v>
      </c>
      <c r="F23" s="1">
        <v>0</v>
      </c>
      <c r="G23" s="1">
        <v>0</v>
      </c>
      <c r="H23" s="1">
        <v>0</v>
      </c>
    </row>
    <row r="24" spans="1:8" x14ac:dyDescent="0.35">
      <c r="A24" s="1">
        <v>2</v>
      </c>
      <c r="B24" t="s">
        <v>27</v>
      </c>
      <c r="C24" s="1" t="s">
        <v>1</v>
      </c>
      <c r="D24" s="1" t="s">
        <v>16</v>
      </c>
      <c r="E24" s="1" t="s">
        <v>17</v>
      </c>
      <c r="F24" s="1">
        <v>4</v>
      </c>
      <c r="G24" s="1">
        <v>14</v>
      </c>
      <c r="H24" s="1">
        <v>1</v>
      </c>
    </row>
    <row r="25" spans="1:8" x14ac:dyDescent="0.35">
      <c r="A25" s="1">
        <v>3</v>
      </c>
      <c r="B25" t="s">
        <v>27</v>
      </c>
      <c r="C25" s="1" t="s">
        <v>2</v>
      </c>
      <c r="D25" s="1" t="s">
        <v>18</v>
      </c>
      <c r="E25" s="1" t="s">
        <v>19</v>
      </c>
      <c r="F25" s="1">
        <v>2</v>
      </c>
      <c r="G25" s="1">
        <v>12</v>
      </c>
      <c r="H25" s="1">
        <v>1</v>
      </c>
    </row>
    <row r="26" spans="1:8" x14ac:dyDescent="0.35">
      <c r="A26" s="1">
        <v>4</v>
      </c>
      <c r="B26" t="s">
        <v>27</v>
      </c>
      <c r="C26" s="1" t="s">
        <v>15</v>
      </c>
      <c r="D26" s="1" t="s">
        <v>13</v>
      </c>
      <c r="E26" s="1" t="s">
        <v>14</v>
      </c>
      <c r="F26" s="1">
        <v>3</v>
      </c>
      <c r="G26" s="1">
        <v>14</v>
      </c>
      <c r="H26" s="1">
        <v>3</v>
      </c>
    </row>
    <row r="27" spans="1:8" x14ac:dyDescent="0.35">
      <c r="A27" s="1">
        <v>5</v>
      </c>
      <c r="B27" t="s">
        <v>27</v>
      </c>
      <c r="C27" s="1" t="s">
        <v>24</v>
      </c>
      <c r="D27" s="1" t="s">
        <v>20</v>
      </c>
      <c r="E27" s="1" t="s">
        <v>21</v>
      </c>
      <c r="F27" s="1">
        <v>5</v>
      </c>
      <c r="G27" s="1">
        <v>14</v>
      </c>
      <c r="H27" s="1">
        <v>4</v>
      </c>
    </row>
    <row r="29" spans="1:8" x14ac:dyDescent="0.35">
      <c r="A29" t="s">
        <v>30</v>
      </c>
    </row>
    <row r="31" spans="1:8" x14ac:dyDescent="0.35">
      <c r="A31" s="3" t="s">
        <v>0</v>
      </c>
      <c r="B31" s="3" t="s">
        <v>25</v>
      </c>
      <c r="C31" s="2" t="s">
        <v>3</v>
      </c>
      <c r="D31" s="2" t="s">
        <v>7</v>
      </c>
      <c r="E31" s="2" t="s">
        <v>8</v>
      </c>
      <c r="F31" s="2" t="s">
        <v>4</v>
      </c>
      <c r="G31" s="2" t="s">
        <v>5</v>
      </c>
      <c r="H31" s="2" t="s">
        <v>6</v>
      </c>
    </row>
    <row r="32" spans="1:8" x14ac:dyDescent="0.35">
      <c r="A32" s="1">
        <v>1</v>
      </c>
      <c r="B32" t="s">
        <v>26</v>
      </c>
      <c r="C32" s="1" t="s">
        <v>15</v>
      </c>
      <c r="D32" s="1" t="s">
        <v>13</v>
      </c>
      <c r="E32" s="1" t="s">
        <v>14</v>
      </c>
      <c r="F32" s="1">
        <v>0</v>
      </c>
      <c r="G32" s="1">
        <v>0</v>
      </c>
      <c r="H32" s="1">
        <v>0</v>
      </c>
    </row>
    <row r="33" spans="1:8" x14ac:dyDescent="0.35">
      <c r="A33" s="1">
        <v>2</v>
      </c>
      <c r="B33" t="s">
        <v>26</v>
      </c>
      <c r="C33" s="1" t="s">
        <v>1</v>
      </c>
      <c r="D33" s="1" t="s">
        <v>16</v>
      </c>
      <c r="E33" s="1" t="s">
        <v>17</v>
      </c>
      <c r="F33" s="1">
        <v>4</v>
      </c>
      <c r="G33" s="1">
        <v>13</v>
      </c>
      <c r="H33" s="1">
        <v>1</v>
      </c>
    </row>
    <row r="34" spans="1:8" x14ac:dyDescent="0.35">
      <c r="A34" s="1">
        <v>3</v>
      </c>
      <c r="B34" t="s">
        <v>26</v>
      </c>
      <c r="C34" s="1" t="s">
        <v>2</v>
      </c>
      <c r="D34" s="1" t="s">
        <v>18</v>
      </c>
      <c r="E34" s="1" t="s">
        <v>19</v>
      </c>
      <c r="F34" s="1">
        <v>5</v>
      </c>
      <c r="G34" s="1">
        <v>11</v>
      </c>
      <c r="H34" s="1">
        <v>1</v>
      </c>
    </row>
    <row r="35" spans="1:8" x14ac:dyDescent="0.35">
      <c r="A35" s="1">
        <v>4</v>
      </c>
      <c r="B35" t="s">
        <v>26</v>
      </c>
      <c r="C35" s="1" t="s">
        <v>15</v>
      </c>
      <c r="D35" s="1" t="s">
        <v>13</v>
      </c>
      <c r="E35" s="1" t="s">
        <v>14</v>
      </c>
      <c r="F35" s="1">
        <v>6</v>
      </c>
      <c r="G35" s="1">
        <v>13</v>
      </c>
      <c r="H35" s="1">
        <v>3</v>
      </c>
    </row>
    <row r="36" spans="1:8" x14ac:dyDescent="0.35">
      <c r="A36" s="1">
        <v>5</v>
      </c>
      <c r="B36" t="s">
        <v>26</v>
      </c>
      <c r="C36" s="1" t="s">
        <v>24</v>
      </c>
      <c r="D36" s="1" t="s">
        <v>20</v>
      </c>
      <c r="E36" s="1" t="s">
        <v>21</v>
      </c>
      <c r="F36" s="1">
        <v>4</v>
      </c>
      <c r="G36" s="1">
        <v>13</v>
      </c>
      <c r="H36" s="1">
        <v>4</v>
      </c>
    </row>
    <row r="37" spans="1:8" x14ac:dyDescent="0.35">
      <c r="A37" s="1">
        <v>1</v>
      </c>
      <c r="B37" t="s">
        <v>27</v>
      </c>
      <c r="C37" s="1" t="s">
        <v>15</v>
      </c>
      <c r="D37" s="1" t="s">
        <v>13</v>
      </c>
      <c r="E37" s="1" t="s">
        <v>14</v>
      </c>
      <c r="F37" s="1">
        <v>0</v>
      </c>
      <c r="G37" s="1">
        <v>0</v>
      </c>
      <c r="H37" s="1">
        <v>0</v>
      </c>
    </row>
    <row r="38" spans="1:8" x14ac:dyDescent="0.35">
      <c r="A38" s="1">
        <v>2</v>
      </c>
      <c r="B38" t="s">
        <v>27</v>
      </c>
      <c r="C38" s="1" t="s">
        <v>1</v>
      </c>
      <c r="D38" s="1" t="s">
        <v>16</v>
      </c>
      <c r="E38" s="1" t="s">
        <v>17</v>
      </c>
      <c r="F38" s="1">
        <v>4</v>
      </c>
      <c r="G38" s="1">
        <v>13</v>
      </c>
      <c r="H38" s="1">
        <v>1</v>
      </c>
    </row>
    <row r="39" spans="1:8" x14ac:dyDescent="0.35">
      <c r="A39" s="1">
        <v>3</v>
      </c>
      <c r="B39" t="s">
        <v>27</v>
      </c>
      <c r="C39" s="1" t="s">
        <v>2</v>
      </c>
      <c r="D39" s="1" t="s">
        <v>18</v>
      </c>
      <c r="E39" s="1" t="s">
        <v>19</v>
      </c>
      <c r="F39" s="1">
        <v>5</v>
      </c>
      <c r="G39" s="1">
        <v>12</v>
      </c>
      <c r="H39" s="1">
        <v>1</v>
      </c>
    </row>
    <row r="40" spans="1:8" x14ac:dyDescent="0.35">
      <c r="A40" s="1">
        <v>4</v>
      </c>
      <c r="B40" t="s">
        <v>27</v>
      </c>
      <c r="C40" s="1" t="s">
        <v>15</v>
      </c>
      <c r="D40" s="1" t="s">
        <v>13</v>
      </c>
      <c r="E40" s="1" t="s">
        <v>14</v>
      </c>
      <c r="F40" s="1">
        <v>6</v>
      </c>
      <c r="G40" s="1">
        <v>13</v>
      </c>
      <c r="H40" s="1">
        <v>3</v>
      </c>
    </row>
    <row r="41" spans="1:8" x14ac:dyDescent="0.35">
      <c r="A41" s="1">
        <v>5</v>
      </c>
      <c r="B41" t="s">
        <v>27</v>
      </c>
      <c r="C41" s="1" t="s">
        <v>24</v>
      </c>
      <c r="D41" s="1" t="s">
        <v>20</v>
      </c>
      <c r="E41" s="1" t="s">
        <v>21</v>
      </c>
      <c r="F41" s="1">
        <v>4</v>
      </c>
      <c r="G41" s="1">
        <v>13</v>
      </c>
      <c r="H41" s="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9878-A8C3-4A3A-96BF-9EC449EE5B6D}">
  <dimension ref="A1:H6"/>
  <sheetViews>
    <sheetView zoomScale="126" zoomScaleNormal="126" workbookViewId="0">
      <selection activeCell="B10" sqref="B10"/>
    </sheetView>
  </sheetViews>
  <sheetFormatPr baseColWidth="10" defaultColWidth="11.54296875" defaultRowHeight="14.5" x14ac:dyDescent="0.35"/>
  <cols>
    <col min="1" max="1" width="11.54296875" style="5"/>
    <col min="2" max="2" width="18.36328125" style="5" customWidth="1"/>
    <col min="3" max="3" width="39.6328125" style="5" customWidth="1"/>
    <col min="4" max="5" width="11.54296875" style="5" hidden="1" customWidth="1"/>
    <col min="6" max="6" width="22.54296875" style="5" customWidth="1"/>
    <col min="7" max="7" width="19.36328125" style="5" customWidth="1"/>
    <col min="8" max="8" width="18.36328125" style="5" customWidth="1"/>
    <col min="9" max="16384" width="11.54296875" style="5"/>
  </cols>
  <sheetData>
    <row r="1" spans="1:8" ht="15" thickBot="1" x14ac:dyDescent="0.4">
      <c r="A1" s="10" t="s">
        <v>0</v>
      </c>
      <c r="B1" s="12" t="s">
        <v>25</v>
      </c>
      <c r="C1" s="11" t="s">
        <v>3</v>
      </c>
      <c r="D1" s="11" t="s">
        <v>7</v>
      </c>
      <c r="E1" s="11" t="s">
        <v>8</v>
      </c>
      <c r="F1" s="15" t="s">
        <v>4</v>
      </c>
      <c r="G1" s="11" t="s">
        <v>5</v>
      </c>
      <c r="H1" s="15" t="s">
        <v>6</v>
      </c>
    </row>
    <row r="2" spans="1:8" x14ac:dyDescent="0.35">
      <c r="A2" s="6">
        <v>1</v>
      </c>
      <c r="B2" s="13" t="s">
        <v>26</v>
      </c>
      <c r="C2" s="7" t="s">
        <v>15</v>
      </c>
      <c r="D2" s="7" t="s">
        <v>13</v>
      </c>
      <c r="E2" s="7" t="s">
        <v>14</v>
      </c>
      <c r="F2" s="16">
        <v>0</v>
      </c>
      <c r="G2" s="7">
        <v>0</v>
      </c>
      <c r="H2" s="16">
        <v>0</v>
      </c>
    </row>
    <row r="3" spans="1:8" x14ac:dyDescent="0.35">
      <c r="A3" s="6">
        <v>2</v>
      </c>
      <c r="B3" s="13" t="s">
        <v>26</v>
      </c>
      <c r="C3" s="7" t="s">
        <v>1</v>
      </c>
      <c r="D3" s="7" t="s">
        <v>16</v>
      </c>
      <c r="E3" s="7" t="s">
        <v>17</v>
      </c>
      <c r="F3" s="16">
        <v>2</v>
      </c>
      <c r="G3" s="7">
        <v>10</v>
      </c>
      <c r="H3" s="16">
        <v>1</v>
      </c>
    </row>
    <row r="4" spans="1:8" x14ac:dyDescent="0.35">
      <c r="A4" s="6">
        <v>3</v>
      </c>
      <c r="B4" s="13" t="s">
        <v>26</v>
      </c>
      <c r="C4" s="7" t="s">
        <v>2</v>
      </c>
      <c r="D4" s="7" t="s">
        <v>18</v>
      </c>
      <c r="E4" s="7" t="s">
        <v>19</v>
      </c>
      <c r="F4" s="16">
        <v>4</v>
      </c>
      <c r="G4" s="7">
        <v>8</v>
      </c>
      <c r="H4" s="16">
        <v>1</v>
      </c>
    </row>
    <row r="5" spans="1:8" x14ac:dyDescent="0.35">
      <c r="A5" s="6">
        <v>4</v>
      </c>
      <c r="B5" s="13" t="s">
        <v>26</v>
      </c>
      <c r="C5" s="7" t="s">
        <v>15</v>
      </c>
      <c r="D5" s="7" t="s">
        <v>13</v>
      </c>
      <c r="E5" s="7" t="s">
        <v>14</v>
      </c>
      <c r="F5" s="16">
        <v>3</v>
      </c>
      <c r="G5" s="7">
        <v>10</v>
      </c>
      <c r="H5" s="16">
        <v>3</v>
      </c>
    </row>
    <row r="6" spans="1:8" ht="15" thickBot="1" x14ac:dyDescent="0.4">
      <c r="A6" s="8">
        <v>5</v>
      </c>
      <c r="B6" s="14" t="s">
        <v>26</v>
      </c>
      <c r="C6" s="9" t="s">
        <v>24</v>
      </c>
      <c r="D6" s="9" t="s">
        <v>20</v>
      </c>
      <c r="E6" s="9" t="s">
        <v>21</v>
      </c>
      <c r="F6" s="17">
        <v>1</v>
      </c>
      <c r="G6" s="9">
        <v>10</v>
      </c>
      <c r="H6" s="17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B1" workbookViewId="0">
      <selection activeCell="E22" sqref="E22"/>
    </sheetView>
  </sheetViews>
  <sheetFormatPr baseColWidth="10" defaultRowHeight="14.5" x14ac:dyDescent="0.35"/>
  <cols>
    <col min="2" max="2" width="34.453125" customWidth="1"/>
    <col min="3" max="3" width="0.453125" hidden="1" customWidth="1"/>
    <col min="4" max="4" width="51.90625" customWidth="1"/>
    <col min="5" max="5" width="35.1796875" bestFit="1" customWidth="1"/>
    <col min="6" max="6" width="37.81640625" customWidth="1"/>
    <col min="7" max="7" width="16.453125" customWidth="1"/>
    <col min="8" max="8" width="20.81640625" customWidth="1"/>
    <col min="9" max="10" width="23.81640625" customWidth="1"/>
  </cols>
  <sheetData>
    <row r="1" spans="1:8" x14ac:dyDescent="0.35">
      <c r="A1" s="3" t="s">
        <v>0</v>
      </c>
      <c r="B1" s="3" t="s">
        <v>25</v>
      </c>
      <c r="C1" s="2" t="s">
        <v>3</v>
      </c>
      <c r="D1" s="2" t="s">
        <v>7</v>
      </c>
      <c r="E1" s="2" t="s">
        <v>8</v>
      </c>
      <c r="F1" s="2" t="s">
        <v>4</v>
      </c>
      <c r="G1" s="2" t="s">
        <v>5</v>
      </c>
      <c r="H1" s="2" t="s">
        <v>6</v>
      </c>
    </row>
    <row r="2" spans="1:8" x14ac:dyDescent="0.35">
      <c r="A2" s="1">
        <v>1</v>
      </c>
      <c r="B2" t="s">
        <v>26</v>
      </c>
      <c r="C2" s="1" t="s">
        <v>15</v>
      </c>
      <c r="D2" s="1" t="s">
        <v>13</v>
      </c>
      <c r="E2" s="1" t="s">
        <v>14</v>
      </c>
      <c r="F2" s="1">
        <v>0</v>
      </c>
      <c r="G2" s="1">
        <v>0</v>
      </c>
      <c r="H2" s="1">
        <v>0</v>
      </c>
    </row>
    <row r="3" spans="1:8" x14ac:dyDescent="0.35">
      <c r="A3" s="1">
        <v>2</v>
      </c>
      <c r="B3" t="s">
        <v>26</v>
      </c>
      <c r="C3" s="1" t="s">
        <v>1</v>
      </c>
      <c r="D3" s="1" t="s">
        <v>16</v>
      </c>
      <c r="E3" s="1" t="s">
        <v>17</v>
      </c>
      <c r="F3" s="1">
        <v>2</v>
      </c>
      <c r="G3" s="1">
        <v>10</v>
      </c>
      <c r="H3" s="1">
        <v>1</v>
      </c>
    </row>
    <row r="4" spans="1:8" x14ac:dyDescent="0.35">
      <c r="A4" s="1">
        <v>3</v>
      </c>
      <c r="B4" t="s">
        <v>26</v>
      </c>
      <c r="C4" s="1" t="s">
        <v>2</v>
      </c>
      <c r="D4" s="1" t="s">
        <v>18</v>
      </c>
      <c r="E4" s="1" t="s">
        <v>19</v>
      </c>
      <c r="F4" s="1">
        <v>4</v>
      </c>
      <c r="G4" s="1">
        <v>8</v>
      </c>
      <c r="H4" s="1">
        <v>2</v>
      </c>
    </row>
    <row r="5" spans="1:8" x14ac:dyDescent="0.35">
      <c r="A5" s="1">
        <v>4</v>
      </c>
      <c r="B5" t="s">
        <v>26</v>
      </c>
      <c r="C5" s="1" t="s">
        <v>15</v>
      </c>
      <c r="D5" s="1" t="s">
        <v>13</v>
      </c>
      <c r="E5" s="1" t="s">
        <v>14</v>
      </c>
      <c r="F5" s="1">
        <v>1</v>
      </c>
      <c r="G5" s="1">
        <v>10</v>
      </c>
      <c r="H5" s="1">
        <v>3</v>
      </c>
    </row>
    <row r="6" spans="1:8" x14ac:dyDescent="0.35">
      <c r="A6" s="1">
        <v>5</v>
      </c>
      <c r="B6" t="s">
        <v>26</v>
      </c>
      <c r="C6" s="1" t="s">
        <v>24</v>
      </c>
      <c r="D6" s="1" t="s">
        <v>20</v>
      </c>
      <c r="E6" s="1" t="s">
        <v>21</v>
      </c>
      <c r="F6" s="1">
        <v>1</v>
      </c>
      <c r="G6" s="1">
        <v>10</v>
      </c>
      <c r="H6" s="1">
        <v>1</v>
      </c>
    </row>
    <row r="7" spans="1:8" x14ac:dyDescent="0.35">
      <c r="A7" s="1">
        <v>6</v>
      </c>
      <c r="B7" t="s">
        <v>26</v>
      </c>
      <c r="C7" s="1" t="s">
        <v>9</v>
      </c>
      <c r="D7" s="1" t="s">
        <v>22</v>
      </c>
      <c r="E7" s="1" t="s">
        <v>23</v>
      </c>
      <c r="F7" s="1">
        <v>1</v>
      </c>
      <c r="G7" s="1">
        <v>10</v>
      </c>
      <c r="H7" s="1">
        <v>1</v>
      </c>
    </row>
    <row r="8" spans="1:8" x14ac:dyDescent="0.35">
      <c r="A8" s="1">
        <v>7</v>
      </c>
      <c r="B8" t="s">
        <v>26</v>
      </c>
      <c r="C8" s="1" t="s">
        <v>12</v>
      </c>
      <c r="D8" t="s">
        <v>11</v>
      </c>
      <c r="E8" s="1" t="s">
        <v>10</v>
      </c>
      <c r="F8" s="1">
        <v>1</v>
      </c>
      <c r="G8" s="1">
        <v>10</v>
      </c>
      <c r="H8" s="1">
        <v>1</v>
      </c>
    </row>
    <row r="9" spans="1:8" x14ac:dyDescent="0.35">
      <c r="A9" s="4">
        <v>1</v>
      </c>
      <c r="B9" t="s">
        <v>27</v>
      </c>
      <c r="C9" s="1" t="s">
        <v>15</v>
      </c>
      <c r="D9" s="1" t="s">
        <v>13</v>
      </c>
      <c r="E9" s="1" t="s">
        <v>14</v>
      </c>
      <c r="F9" s="1">
        <v>0</v>
      </c>
      <c r="G9" s="1">
        <v>0</v>
      </c>
      <c r="H9" s="1">
        <v>0</v>
      </c>
    </row>
    <row r="10" spans="1:8" x14ac:dyDescent="0.35">
      <c r="A10" s="4">
        <v>2</v>
      </c>
      <c r="B10" t="s">
        <v>27</v>
      </c>
      <c r="C10" s="1" t="s">
        <v>1</v>
      </c>
      <c r="D10" s="1" t="s">
        <v>16</v>
      </c>
      <c r="E10" s="1" t="s">
        <v>17</v>
      </c>
      <c r="F10" s="1">
        <v>2</v>
      </c>
      <c r="G10" s="1">
        <v>10</v>
      </c>
      <c r="H10" s="1">
        <v>1</v>
      </c>
    </row>
    <row r="11" spans="1:8" x14ac:dyDescent="0.35">
      <c r="A11" s="1">
        <v>3</v>
      </c>
      <c r="B11" t="s">
        <v>27</v>
      </c>
      <c r="C11" s="1" t="s">
        <v>2</v>
      </c>
      <c r="D11" s="1" t="s">
        <v>18</v>
      </c>
      <c r="E11" s="1" t="s">
        <v>19</v>
      </c>
      <c r="F11" s="1">
        <v>4</v>
      </c>
      <c r="G11" s="1">
        <v>8</v>
      </c>
      <c r="H11" s="1">
        <v>2</v>
      </c>
    </row>
    <row r="12" spans="1:8" x14ac:dyDescent="0.35">
      <c r="A12" s="1">
        <v>4</v>
      </c>
      <c r="B12" t="s">
        <v>27</v>
      </c>
      <c r="C12" s="1" t="s">
        <v>15</v>
      </c>
      <c r="D12" s="1" t="s">
        <v>13</v>
      </c>
      <c r="E12" s="1" t="s">
        <v>14</v>
      </c>
      <c r="F12" s="1">
        <v>1</v>
      </c>
      <c r="G12" s="1">
        <v>10</v>
      </c>
      <c r="H12" s="1">
        <v>3</v>
      </c>
    </row>
    <row r="13" spans="1:8" x14ac:dyDescent="0.35">
      <c r="A13" s="1">
        <v>5</v>
      </c>
      <c r="B13" t="s">
        <v>27</v>
      </c>
      <c r="C13" s="1" t="s">
        <v>24</v>
      </c>
      <c r="D13" s="1" t="s">
        <v>20</v>
      </c>
      <c r="E13" s="1" t="s">
        <v>21</v>
      </c>
      <c r="F13" s="1">
        <v>1</v>
      </c>
      <c r="G13" s="1">
        <v>5</v>
      </c>
      <c r="H13" s="1">
        <v>1</v>
      </c>
    </row>
    <row r="14" spans="1:8" x14ac:dyDescent="0.35">
      <c r="A14" s="4">
        <v>6</v>
      </c>
      <c r="B14" t="s">
        <v>27</v>
      </c>
      <c r="C14" s="1" t="s">
        <v>9</v>
      </c>
      <c r="D14" s="1" t="s">
        <v>22</v>
      </c>
      <c r="E14" s="1" t="s">
        <v>23</v>
      </c>
      <c r="F14" s="1">
        <v>1</v>
      </c>
      <c r="G14" s="1">
        <v>10</v>
      </c>
      <c r="H1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RUTAS_Prueba</vt:lpstr>
      <vt:lpstr>Hoja4</vt:lpstr>
      <vt:lpstr>Hoja3</vt:lpstr>
      <vt:lpstr>Hoja2</vt:lpstr>
      <vt:lpstr>Hoja1</vt:lpstr>
      <vt:lpstr>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Gino Farias</dc:creator>
  <cp:lastModifiedBy>Macarena Fernanda Fredes Araya</cp:lastModifiedBy>
  <dcterms:created xsi:type="dcterms:W3CDTF">2023-05-04T19:55:18Z</dcterms:created>
  <dcterms:modified xsi:type="dcterms:W3CDTF">2025-02-04T01:15:50Z</dcterms:modified>
</cp:coreProperties>
</file>